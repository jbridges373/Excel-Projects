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lobalbanking-my.sharepoint.com/personal/jbridges_globalbanking_ac_uk/Documents/Personal/Project SQL/Excel/"/>
    </mc:Choice>
  </mc:AlternateContent>
  <xr:revisionPtr revIDLastSave="411" documentId="8_{86B91EC2-074F-453C-B7C0-94F4C16E28FB}" xr6:coauthVersionLast="47" xr6:coauthVersionMax="47" xr10:uidLastSave="{0B053EF7-6CFE-4AEC-921B-0F231A846EDE}"/>
  <bookViews>
    <workbookView xWindow="-120" yWindow="-120" windowWidth="29040" windowHeight="15720" activeTab="1" xr2:uid="{00000000-000D-0000-FFFF-FFFF00000000}"/>
  </bookViews>
  <sheets>
    <sheet name="raw_data bike_buyers" sheetId="1" r:id="rId1"/>
    <sheet name="Working Sheet" sheetId="5" r:id="rId2"/>
    <sheet name="Pivot Table" sheetId="4" r:id="rId3"/>
    <sheet name="Final Dashboard" sheetId="3" r:id="rId4"/>
  </sheets>
  <definedNames>
    <definedName name="_xlnm._FilterDatabase" localSheetId="0" hidden="1">'raw_data 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<sst xmlns="http://schemas.openxmlformats.org/spreadsheetml/2006/main" count="16267" uniqueCount="51">
  <si>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</si>
  <si>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</si>
  <si>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</si>
  <si>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</si>
  <si>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</si>
  <si>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</si>
  <si>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</si>
  <si>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</si>
  <si>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</si>
  <si>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</si>
  <si>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</si>
  <si>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</si>
  <si>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</si>
  <si>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</si>
  <si>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</si>
  <si>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</si>
  <si>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</si>
  <si>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</si>
  <si>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</si>
  <si>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</si>
  <si>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</si>
  <si>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</si>
  <si>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</si>
  <si>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</si>
  <si>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</si>
  <si>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</si>
  <si>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</si>
  <si>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</si>
  <si>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</si>
  <si>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</si>
  <si>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</si>
  <si>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</si>
  <si>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</si>
  <si>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</si>
  <si>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</si>
  <si>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</si>
  <si>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</si>
  <si>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</si>
  <si>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</si>
  <si>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</si>
  <si>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</si>
  <si>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</si>
  <si>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</si>
  <si>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</si>
  <si>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</si>
  <si>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</si>
  <si>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Over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</si>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</sst>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a:t>
            </a:r>
            <a:r>
              <a:rPr lang="en-GB" baseline="0"/>
              <a:t>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985-4C74-B75A-5412F30FCFF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9-6985-4C74-B75A-5412F30FCFFA}"/>
            </c:ext>
          </c:extLst>
        </c:ser>
        <c:dLbls>
          <c:showLegendKey val="0"/>
          <c:showVal val="0"/>
          <c:showCatName val="0"/>
          <c:showSerName val="0"/>
          <c:showPercent val="0"/>
          <c:showBubbleSize val="0"/>
        </c:dLbls>
        <c:gapWidth val="150"/>
        <c:axId val="892113936"/>
        <c:axId val="734755088"/>
      </c:barChart>
      <c:catAx>
        <c:axId val="89211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55088"/>
        <c:crosses val="autoZero"/>
        <c:auto val="1"/>
        <c:lblAlgn val="ctr"/>
        <c:lblOffset val="100"/>
        <c:noMultiLvlLbl val="0"/>
      </c:catAx>
      <c:valAx>
        <c:axId val="73475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113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Over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75B-4E35-865E-AE0FAD846D79}"/>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Over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6-975B-4E35-865E-AE0FAD846D79}"/>
            </c:ext>
          </c:extLst>
        </c:ser>
        <c:dLbls>
          <c:dLblPos val="t"/>
          <c:showLegendKey val="0"/>
          <c:showVal val="0"/>
          <c:showCatName val="0"/>
          <c:showSerName val="0"/>
          <c:showPercent val="0"/>
          <c:showBubbleSize val="0"/>
        </c:dLbls>
        <c:smooth val="0"/>
        <c:axId val="1238352848"/>
        <c:axId val="734731568"/>
      </c:lineChart>
      <c:catAx>
        <c:axId val="123835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31568"/>
        <c:crosses val="autoZero"/>
        <c:auto val="1"/>
        <c:lblAlgn val="ctr"/>
        <c:lblOffset val="100"/>
        <c:noMultiLvlLbl val="0"/>
      </c:catAx>
      <c:valAx>
        <c:axId val="73473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5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B30-418F-AB1F-FD51B0541E3D}"/>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6-BB30-418F-AB1F-FD51B0541E3D}"/>
            </c:ext>
          </c:extLst>
        </c:ser>
        <c:dLbls>
          <c:showLegendKey val="0"/>
          <c:showVal val="0"/>
          <c:showCatName val="0"/>
          <c:showSerName val="0"/>
          <c:showPercent val="0"/>
          <c:showBubbleSize val="0"/>
        </c:dLbls>
        <c:marker val="1"/>
        <c:smooth val="0"/>
        <c:axId val="1241178096"/>
        <c:axId val="1374733424"/>
      </c:lineChart>
      <c:catAx>
        <c:axId val="124117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33424"/>
        <c:crosses val="autoZero"/>
        <c:auto val="1"/>
        <c:lblAlgn val="ctr"/>
        <c:lblOffset val="100"/>
        <c:noMultiLvlLbl val="0"/>
      </c:catAx>
      <c:valAx>
        <c:axId val="137473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17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E72-4361-8CB7-0ECD4A9BBB75}"/>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6-2E72-4361-8CB7-0ECD4A9BBB75}"/>
            </c:ext>
          </c:extLst>
        </c:ser>
        <c:dLbls>
          <c:showLegendKey val="0"/>
          <c:showVal val="0"/>
          <c:showCatName val="0"/>
          <c:showSerName val="0"/>
          <c:showPercent val="0"/>
          <c:showBubbleSize val="0"/>
        </c:dLbls>
        <c:marker val="1"/>
        <c:smooth val="0"/>
        <c:axId val="1241178096"/>
        <c:axId val="1374733424"/>
      </c:lineChart>
      <c:catAx>
        <c:axId val="124117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33424"/>
        <c:crosses val="autoZero"/>
        <c:auto val="1"/>
        <c:lblAlgn val="ctr"/>
        <c:lblOffset val="100"/>
        <c:noMultiLvlLbl val="0"/>
      </c:catAx>
      <c:valAx>
        <c:axId val="137473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17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Over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4FB-4409-94DC-FF01E06D4EB7}"/>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Over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6-84FB-4409-94DC-FF01E06D4EB7}"/>
            </c:ext>
          </c:extLst>
        </c:ser>
        <c:dLbls>
          <c:showLegendKey val="0"/>
          <c:showVal val="0"/>
          <c:showCatName val="0"/>
          <c:showSerName val="0"/>
          <c:showPercent val="0"/>
          <c:showBubbleSize val="0"/>
        </c:dLbls>
        <c:marker val="1"/>
        <c:smooth val="0"/>
        <c:axId val="1238352848"/>
        <c:axId val="734731568"/>
      </c:lineChart>
      <c:catAx>
        <c:axId val="123835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31568"/>
        <c:crosses val="autoZero"/>
        <c:auto val="1"/>
        <c:lblAlgn val="ctr"/>
        <c:lblOffset val="100"/>
        <c:noMultiLvlLbl val="0"/>
      </c:catAx>
      <c:valAx>
        <c:axId val="73473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5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a:t>
            </a:r>
            <a:r>
              <a:rPr lang="en-GB" baseline="0"/>
              <a:t>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D94-4209-B4D9-1BD999B03E4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9-3D94-4209-B4D9-1BD999B03E4E}"/>
            </c:ext>
          </c:extLst>
        </c:ser>
        <c:dLbls>
          <c:showLegendKey val="0"/>
          <c:showVal val="0"/>
          <c:showCatName val="0"/>
          <c:showSerName val="0"/>
          <c:showPercent val="0"/>
          <c:showBubbleSize val="0"/>
        </c:dLbls>
        <c:gapWidth val="150"/>
        <c:axId val="892113936"/>
        <c:axId val="734755088"/>
      </c:barChart>
      <c:catAx>
        <c:axId val="89211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55088"/>
        <c:crosses val="autoZero"/>
        <c:auto val="1"/>
        <c:lblAlgn val="ctr"/>
        <c:lblOffset val="100"/>
        <c:noMultiLvlLbl val="0"/>
      </c:catAx>
      <c:valAx>
        <c:axId val="73475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113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1</xdr:row>
      <xdr:rowOff>4762</xdr:rowOff>
    </xdr:from>
    <xdr:to>
      <xdr:col>12</xdr:col>
      <xdr:colOff>590550</xdr:colOff>
      <xdr:row>17</xdr:row>
      <xdr:rowOff>152400</xdr:rowOff>
    </xdr:to>
    <xdr:graphicFrame macro="">
      <xdr:nvGraphicFramePr>
        <xdr:cNvPr id="2" name="Chart 1">
          <a:extLst>
            <a:ext uri="{FF2B5EF4-FFF2-40B4-BE49-F238E27FC236}">
              <a16:creationId xmlns:a16="http://schemas.microsoft.com/office/drawing/2014/main" id="{BAB3FB48-5E84-AFB4-5B7B-14FFB86DB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9524</xdr:colOff>
      <xdr:row>21</xdr:row>
      <xdr:rowOff>33337</xdr:rowOff>
    </xdr:from>
    <xdr:to>
      <xdr:col>12</xdr:col>
      <xdr:colOff>590549</xdr:colOff>
      <xdr:row>37</xdr:row>
      <xdr:rowOff>9525</xdr:rowOff>
    </xdr:to>
    <xdr:graphicFrame macro="">
      <xdr:nvGraphicFramePr>
        <xdr:cNvPr id="3" name="Chart 2">
          <a:extLst>
            <a:ext uri="{FF2B5EF4-FFF2-40B4-BE49-F238E27FC236}">
              <a16:creationId xmlns:a16="http://schemas.microsoft.com/office/drawing/2014/main" id="{FDF0ACE1-9570-4F0D-D3C4-786CA194A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609599</xdr:colOff>
      <xdr:row>40</xdr:row>
      <xdr:rowOff>4762</xdr:rowOff>
    </xdr:from>
    <xdr:to>
      <xdr:col>13</xdr:col>
      <xdr:colOff>9524</xdr:colOff>
      <xdr:row>56</xdr:row>
      <xdr:rowOff>19050</xdr:rowOff>
    </xdr:to>
    <xdr:graphicFrame macro="">
      <xdr:nvGraphicFramePr>
        <xdr:cNvPr id="4" name="Chart 3">
          <a:extLst>
            <a:ext uri="{FF2B5EF4-FFF2-40B4-BE49-F238E27FC236}">
              <a16:creationId xmlns:a16="http://schemas.microsoft.com/office/drawing/2014/main" id="{7EDF61D0-0196-5B62-1AD5-9C8031D42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424998</xdr:colOff>
      <xdr:row>3</xdr:row>
      <xdr:rowOff>19050</xdr:rowOff>
    </xdr:from>
    <xdr:to>
      <xdr:col>14</xdr:col>
      <xdr:colOff>609599</xdr:colOff>
      <xdr:row>14</xdr:row>
      <xdr:rowOff>190499</xdr:rowOff>
    </xdr:to>
    <xdr:graphicFrame macro="">
      <xdr:nvGraphicFramePr>
        <xdr:cNvPr id="2" name="Chart 1">
          <a:extLst>
            <a:ext uri="{FF2B5EF4-FFF2-40B4-BE49-F238E27FC236}">
              <a16:creationId xmlns:a16="http://schemas.microsoft.com/office/drawing/2014/main" id="{57DACFB5-04D8-4493-8568-51312C372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323849</xdr:colOff>
      <xdr:row>15</xdr:row>
      <xdr:rowOff>47625</xdr:rowOff>
    </xdr:from>
    <xdr:to>
      <xdr:col>15</xdr:col>
      <xdr:colOff>0</xdr:colOff>
      <xdr:row>31</xdr:row>
      <xdr:rowOff>23813</xdr:rowOff>
    </xdr:to>
    <xdr:graphicFrame macro="">
      <xdr:nvGraphicFramePr>
        <xdr:cNvPr id="3" name="Chart 2">
          <a:extLst>
            <a:ext uri="{FF2B5EF4-FFF2-40B4-BE49-F238E27FC236}">
              <a16:creationId xmlns:a16="http://schemas.microsoft.com/office/drawing/2014/main" id="{9F074ADC-9AF1-4059-8638-D3A14711B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326339</xdr:colOff>
      <xdr:row>3</xdr:row>
      <xdr:rowOff>19050</xdr:rowOff>
    </xdr:from>
    <xdr:to>
      <xdr:col>8</xdr:col>
      <xdr:colOff>409575</xdr:colOff>
      <xdr:row>15</xdr:row>
      <xdr:rowOff>0</xdr:rowOff>
    </xdr:to>
    <xdr:graphicFrame macro="">
      <xdr:nvGraphicFramePr>
        <xdr:cNvPr id="4" name="Chart 3">
          <a:extLst>
            <a:ext uri="{FF2B5EF4-FFF2-40B4-BE49-F238E27FC236}">
              <a16:creationId xmlns:a16="http://schemas.microsoft.com/office/drawing/2014/main" id="{A47BA96A-1E52-484C-9232-D53C5B7D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3</xdr:row>
      <xdr:rowOff>19051</xdr:rowOff>
    </xdr:from>
    <xdr:to>
      <xdr:col>2</xdr:col>
      <xdr:colOff>314324</xdr:colOff>
      <xdr:row>8</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23A0641-54C5-3C5B-4C93-47B84BD179D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50" y="590551"/>
              <a:ext cx="1514474" cy="9334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14</xdr:row>
      <xdr:rowOff>114301</xdr:rowOff>
    </xdr:from>
    <xdr:to>
      <xdr:col>2</xdr:col>
      <xdr:colOff>304799</xdr:colOff>
      <xdr:row>23</xdr:row>
      <xdr:rowOff>133351</xdr:rowOff>
    </xdr:to>
    <mc:AlternateContent xmlns:mc="http://schemas.openxmlformats.org/markup-compatibility/2006">
      <mc:Choice xmlns:a14="http://schemas.microsoft.com/office/drawing/2010/main" Requires="a14">
        <xdr:graphicFrame macro="">
          <xdr:nvGraphicFramePr>
            <xdr:cNvPr id="6" name="Occupation">
              <a:extLst>
                <a:ext uri="{FF2B5EF4-FFF2-40B4-BE49-F238E27FC236}">
                  <a16:creationId xmlns:a16="http://schemas.microsoft.com/office/drawing/2014/main" id="{A97FFA77-5A6B-AD56-C068-9A8D674AF9C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8574" y="2781301"/>
              <a:ext cx="1495425" cy="1733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47625</xdr:rowOff>
    </xdr:from>
    <xdr:to>
      <xdr:col>2</xdr:col>
      <xdr:colOff>304800</xdr:colOff>
      <xdr:row>14</xdr:row>
      <xdr:rowOff>95250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CFCBE76-086D-80A8-7635-C55F77704F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 y="1571625"/>
              <a:ext cx="1504950" cy="1190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23</xdr:row>
      <xdr:rowOff>161925</xdr:rowOff>
    </xdr:from>
    <xdr:to>
      <xdr:col>2</xdr:col>
      <xdr:colOff>304800</xdr:colOff>
      <xdr:row>32</xdr:row>
      <xdr:rowOff>152400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5AC8354A-D2CA-A9C5-611B-CEBB8651E6D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050" y="4543425"/>
              <a:ext cx="1504950" cy="1704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Bridges" refreshedDate="46253.542225115743" createdVersion="8" refreshedVersion="8" minRefreshableVersion="3" recordCount="1000" xr:uid="{46335353-448B-48A9-B035-015DC3B84C8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Over 10 miles"/>
        <s v="More than 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08211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B59EE5-0759-4D5E-89BE-E3BC0198EAFB}"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D47" firstHeaderRow="1" firstDataRow="2" firstDataCol="1"/>
  <pivotFields count="14">
    <pivotField showAll="0"/>
    <pivotField showAll="0">
      <items count="3">
        <item x="0"/>
        <item x="1"/>
        <item t="default"/>
      </items>
    </pivotField>
    <pivotField showAll="0"/>
    <pivotField numFmtId="167"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58C679-74DD-460C-96B2-698B3C4E8DF0}"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3">
        <item x="0"/>
        <item x="1"/>
        <item t="default"/>
      </items>
    </pivotField>
    <pivotField showAll="0"/>
    <pivotField numFmtId="167" showAll="0"/>
    <pivotField showAll="0"/>
    <pivotField showAll="0"/>
    <pivotField showAll="0">
      <items count="6">
        <item x="1"/>
        <item x="4"/>
        <item x="3"/>
        <item x="2"/>
        <item x="0"/>
        <item t="default"/>
      </items>
    </pivotField>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BC62F0-A589-4507-8B01-66641F91778D}"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5B5665B-25C0-4859-AB48-A538CEF215E2}" sourceName="Marital Status">
  <pivotTables>
    <pivotTable tabId="4" name="PivotTable1"/>
    <pivotTable tabId="4" name="PivotTable2"/>
    <pivotTable tabId="4" name="PivotTable3"/>
  </pivotTables>
  <data>
    <tabular pivotCacheId="20082117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125587A-CF83-480C-A1D2-B70C6D8B2A0B}" sourceName="Occupation">
  <pivotTables>
    <pivotTable tabId="4" name="PivotTable1"/>
    <pivotTable tabId="4" name="PivotTable2"/>
    <pivotTable tabId="4" name="PivotTable3"/>
  </pivotTables>
  <data>
    <tabular pivotCacheId="2008211797">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05CE8A-0233-4BAD-ABA5-9B6CBE639300}" sourceName="Region">
  <pivotTables>
    <pivotTable tabId="4" name="PivotTable1"/>
    <pivotTable tabId="4" name="PivotTable2"/>
    <pivotTable tabId="4" name="PivotTable3"/>
  </pivotTables>
  <data>
    <tabular pivotCacheId="20082117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DDCE20-767F-462D-A8A4-B0F01BACCFF9}" sourceName="Education">
  <pivotTables>
    <pivotTable tabId="4" name="PivotTable1"/>
  </pivotTables>
  <data>
    <tabular pivotCacheId="200821179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19ABC49-BD4D-4574-A729-BAD2631F3649}" cache="Slicer_Marital_Status" caption="Marital Status" rowHeight="241300"/>
  <slicer name="Occupation" xr10:uid="{4C7A94C6-6CB6-45D3-8ADE-EF13F07376B7}" cache="Slicer_Occupation" caption="Occupation" rowHeight="241300"/>
  <slicer name="Region" xr10:uid="{E63D9165-85A8-47EF-9CF3-EB6E1B7DCECE}" cache="Slicer_Region" caption="Region" rowHeight="241300"/>
  <slicer name="Education" xr10:uid="{335DD040-8CA5-4786-917F-E2B4799A2AE3}"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3057F-A618-409C-A780-2E69AD0DB8E8}">
  <dimension ref="A1:N1001"/>
  <sheetViews>
    <sheetView tabSelected="1" workbookViewId="0">
      <selection activeCell="J23" sqref="J23"/>
    </sheetView>
  </sheetViews>
  <sheetFormatPr defaultColWidth="11.85546875" defaultRowHeight="15" x14ac:dyDescent="0.25"/>
  <cols>
    <col min="2" max="2" width="15.5703125" bestFit="1" customWidth="1"/>
    <col min="4" max="4" width="11.85546875" style="3"/>
    <col min="6" max="6" width="17.7109375" bestFit="1" customWidth="1"/>
    <col min="7" max="7" width="14.140625" bestFit="1" customWidth="1"/>
    <col min="10" max="10" width="20.28515625" bestFit="1" customWidth="1"/>
    <col min="12" max="12" width="6.7109375" bestFit="1" customWidth="1"/>
    <col min="13" max="13" width="14.5703125"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DC3057F-A618-409C-A780-2E69AD0DB8E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AB8B-0B39-41FC-9E37-A455BFFA5AA8}">
  <dimension ref="A3:D47"/>
  <sheetViews>
    <sheetView topLeftCell="A25" workbookViewId="0">
      <selection activeCell="O44" sqref="O44"/>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3" spans="1:4" x14ac:dyDescent="0.25">
      <c r="A3" s="4" t="s">
        <v>41</v>
      </c>
      <c r="B3" s="4" t="s">
        <v>44</v>
      </c>
    </row>
    <row r="4" spans="1:4" x14ac:dyDescent="0.25">
      <c r="A4" s="4" t="s">
        <v>42</v>
      </c>
      <c r="B4" t="s">
        <v>18</v>
      </c>
      <c r="C4" t="s">
        <v>15</v>
      </c>
      <c r="D4" t="s">
        <v>43</v>
      </c>
    </row>
    <row r="5" spans="1:4" x14ac:dyDescent="0.25">
      <c r="A5" s="5" t="s">
        <v>39</v>
      </c>
      <c r="B5" s="3">
        <v>53440</v>
      </c>
      <c r="C5" s="3">
        <v>55774.058577405856</v>
      </c>
      <c r="D5" s="3">
        <v>54580.777096114522</v>
      </c>
    </row>
    <row r="6" spans="1:4" x14ac:dyDescent="0.25">
      <c r="A6" s="5" t="s">
        <v>38</v>
      </c>
      <c r="B6" s="3">
        <v>56208.178438661707</v>
      </c>
      <c r="C6" s="3">
        <v>60123.966942148763</v>
      </c>
      <c r="D6" s="3">
        <v>58062.62230919765</v>
      </c>
    </row>
    <row r="7" spans="1:4" x14ac:dyDescent="0.25">
      <c r="A7" s="5" t="s">
        <v>43</v>
      </c>
      <c r="B7" s="3">
        <v>54874.759152215796</v>
      </c>
      <c r="C7" s="3">
        <v>57962.577962577961</v>
      </c>
      <c r="D7" s="3">
        <v>56360</v>
      </c>
    </row>
    <row r="24" spans="1:4" x14ac:dyDescent="0.25">
      <c r="A24" s="4" t="s">
        <v>45</v>
      </c>
      <c r="B24" s="4" t="s">
        <v>44</v>
      </c>
    </row>
    <row r="25" spans="1:4" x14ac:dyDescent="0.25">
      <c r="A25" s="4" t="s">
        <v>42</v>
      </c>
      <c r="B25" t="s">
        <v>18</v>
      </c>
      <c r="C25" t="s">
        <v>15</v>
      </c>
      <c r="D25" t="s">
        <v>43</v>
      </c>
    </row>
    <row r="26" spans="1:4" x14ac:dyDescent="0.25">
      <c r="A26" s="5" t="s">
        <v>16</v>
      </c>
      <c r="B26" s="6">
        <v>166</v>
      </c>
      <c r="C26" s="6">
        <v>200</v>
      </c>
      <c r="D26" s="6">
        <v>366</v>
      </c>
    </row>
    <row r="27" spans="1:4" x14ac:dyDescent="0.25">
      <c r="A27" s="5" t="s">
        <v>26</v>
      </c>
      <c r="B27" s="6">
        <v>92</v>
      </c>
      <c r="C27" s="6">
        <v>77</v>
      </c>
      <c r="D27" s="6">
        <v>169</v>
      </c>
    </row>
    <row r="28" spans="1:4" x14ac:dyDescent="0.25">
      <c r="A28" s="5" t="s">
        <v>22</v>
      </c>
      <c r="B28" s="6">
        <v>67</v>
      </c>
      <c r="C28" s="6">
        <v>95</v>
      </c>
      <c r="D28" s="6">
        <v>162</v>
      </c>
    </row>
    <row r="29" spans="1:4" x14ac:dyDescent="0.25">
      <c r="A29" s="5" t="s">
        <v>23</v>
      </c>
      <c r="B29" s="6">
        <v>116</v>
      </c>
      <c r="C29" s="6">
        <v>76</v>
      </c>
      <c r="D29" s="6">
        <v>192</v>
      </c>
    </row>
    <row r="30" spans="1:4" x14ac:dyDescent="0.25">
      <c r="A30" s="5" t="s">
        <v>46</v>
      </c>
      <c r="B30" s="6">
        <v>78</v>
      </c>
      <c r="C30" s="6">
        <v>33</v>
      </c>
      <c r="D30" s="6">
        <v>111</v>
      </c>
    </row>
    <row r="31" spans="1:4" x14ac:dyDescent="0.25">
      <c r="A31" s="5" t="s">
        <v>43</v>
      </c>
      <c r="B31" s="6">
        <v>519</v>
      </c>
      <c r="C31" s="6">
        <v>481</v>
      </c>
      <c r="D31" s="6">
        <v>1000</v>
      </c>
    </row>
    <row r="42" spans="1:4" x14ac:dyDescent="0.25">
      <c r="A42" s="4" t="s">
        <v>45</v>
      </c>
      <c r="B42" s="4" t="s">
        <v>44</v>
      </c>
    </row>
    <row r="43" spans="1:4" x14ac:dyDescent="0.25">
      <c r="A43" s="4" t="s">
        <v>42</v>
      </c>
      <c r="B43" t="s">
        <v>18</v>
      </c>
      <c r="C43" t="s">
        <v>15</v>
      </c>
      <c r="D43" t="s">
        <v>43</v>
      </c>
    </row>
    <row r="44" spans="1:4" x14ac:dyDescent="0.25">
      <c r="A44" s="5" t="s">
        <v>47</v>
      </c>
      <c r="B44" s="6">
        <v>71</v>
      </c>
      <c r="C44" s="6">
        <v>39</v>
      </c>
      <c r="D44" s="6">
        <v>110</v>
      </c>
    </row>
    <row r="45" spans="1:4" x14ac:dyDescent="0.25">
      <c r="A45" s="5" t="s">
        <v>48</v>
      </c>
      <c r="B45" s="6">
        <v>318</v>
      </c>
      <c r="C45" s="6">
        <v>383</v>
      </c>
      <c r="D45" s="6">
        <v>701</v>
      </c>
    </row>
    <row r="46" spans="1:4" x14ac:dyDescent="0.25">
      <c r="A46" s="5" t="s">
        <v>49</v>
      </c>
      <c r="B46" s="6">
        <v>130</v>
      </c>
      <c r="C46" s="6">
        <v>59</v>
      </c>
      <c r="D46" s="6">
        <v>189</v>
      </c>
    </row>
    <row r="47" spans="1:4" x14ac:dyDescent="0.25">
      <c r="A47" s="5" t="s">
        <v>43</v>
      </c>
      <c r="B47" s="6">
        <v>519</v>
      </c>
      <c r="C47" s="6">
        <v>481</v>
      </c>
      <c r="D47"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AD51-7B94-46BB-8859-105A89D01668}">
  <dimension ref="A1:O3"/>
  <sheetViews>
    <sheetView showGridLines="0" workbookViewId="0">
      <selection activeCell="Q14" sqref="Q14"/>
    </sheetView>
  </sheetViews>
  <sheetFormatPr defaultRowHeight="15" x14ac:dyDescent="0.25"/>
  <sheetData>
    <row r="1" spans="1:15" ht="15" customHeight="1" x14ac:dyDescent="0.25">
      <c r="A1" s="7" t="s">
        <v>50</v>
      </c>
      <c r="B1" s="7"/>
      <c r="C1" s="7"/>
      <c r="D1" s="7"/>
      <c r="E1" s="7"/>
      <c r="F1" s="7"/>
      <c r="G1" s="7"/>
      <c r="H1" s="7"/>
      <c r="I1" s="7"/>
      <c r="J1" s="7"/>
      <c r="K1" s="7"/>
      <c r="L1" s="7"/>
      <c r="M1" s="7"/>
      <c r="N1" s="7"/>
      <c r="O1" s="7"/>
    </row>
    <row r="2" spans="1:15" ht="15" customHeight="1" x14ac:dyDescent="0.25">
      <c r="A2" s="7"/>
      <c r="B2" s="7"/>
      <c r="C2" s="7"/>
      <c r="D2" s="7"/>
      <c r="E2" s="7"/>
      <c r="F2" s="7"/>
      <c r="G2" s="7"/>
      <c r="H2" s="7"/>
      <c r="I2" s="7"/>
      <c r="J2" s="7"/>
      <c r="K2" s="7"/>
      <c r="L2" s="7"/>
      <c r="M2" s="7"/>
      <c r="N2" s="7"/>
      <c r="O2" s="7"/>
    </row>
    <row r="3" spans="1:15" ht="15" customHeight="1" x14ac:dyDescent="0.25">
      <c r="A3" s="7"/>
      <c r="B3" s="7"/>
      <c r="C3" s="7"/>
      <c r="D3" s="7"/>
      <c r="E3" s="7"/>
      <c r="F3" s="7"/>
      <c r="G3" s="7"/>
      <c r="H3" s="7"/>
      <c r="I3" s="7"/>
      <c r="J3" s="7"/>
      <c r="K3" s="7"/>
      <c r="L3" s="7"/>
      <c r="M3" s="7"/>
      <c r="N3" s="7"/>
      <c r="O3" s="7"/>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8412d91d-9e36-4b7b-9f0e-6cb709942add}" enabled="1" method="Standard" siteId="{e8549c2e-0d2e-4560-9591-3186755fc58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 bike_buyers</vt:lpstr>
      <vt:lpstr>Working Sheet</vt:lpstr>
      <vt:lpstr>Pivot Table</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Bridges</dc:creator>
  <cp:lastModifiedBy>John Bridges</cp:lastModifiedBy>
  <dcterms:created xsi:type="dcterms:W3CDTF">2022-03-18T02:50:57Z</dcterms:created>
  <dcterms:modified xsi:type="dcterms:W3CDTF">2026-08-19T12:55:01Z</dcterms:modified>
</cp:coreProperties>
</file>